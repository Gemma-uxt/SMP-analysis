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K:\부서공유함\영업처 발전영업부\04. 요금\(월간-산정) 3. 홈페이지 업데이트\발전용 요금표(월별)\2026\"/>
    </mc:Choice>
  </mc:AlternateContent>
  <xr:revisionPtr revIDLastSave="0" documentId="13_ncr:1_{A5A3329C-2BAE-4FA1-80E4-FB4388283C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0" i="1" l="1"/>
  <c r="X7" i="1"/>
  <c r="W10" i="1"/>
  <c r="W7" i="1"/>
  <c r="AA5" i="1" l="1"/>
  <c r="AB5" i="1"/>
  <c r="AA6" i="1"/>
  <c r="AB6" i="1"/>
  <c r="O10" i="1" l="1"/>
  <c r="N10" i="1" l="1"/>
  <c r="N7" i="1"/>
  <c r="M10" i="1"/>
  <c r="M7" i="1"/>
  <c r="J10" i="1" l="1"/>
  <c r="I10" i="1"/>
  <c r="J7" i="1"/>
  <c r="I7" i="1"/>
  <c r="Z10" i="1" l="1"/>
  <c r="Y10" i="1"/>
  <c r="V10" i="1"/>
  <c r="U10" i="1"/>
  <c r="T10" i="1"/>
  <c r="S10" i="1"/>
  <c r="R10" i="1"/>
  <c r="Q10" i="1"/>
  <c r="P10" i="1"/>
  <c r="L10" i="1"/>
  <c r="K10" i="1"/>
  <c r="H10" i="1"/>
  <c r="G10" i="1"/>
  <c r="F10" i="1"/>
  <c r="E10" i="1"/>
  <c r="D10" i="1"/>
  <c r="C10" i="1"/>
  <c r="Z7" i="1"/>
  <c r="Y7" i="1"/>
  <c r="V7" i="1"/>
  <c r="U7" i="1"/>
  <c r="T7" i="1"/>
  <c r="S7" i="1"/>
  <c r="R7" i="1"/>
  <c r="Q7" i="1"/>
  <c r="P7" i="1"/>
  <c r="O7" i="1"/>
  <c r="L7" i="1"/>
  <c r="K7" i="1"/>
  <c r="H7" i="1"/>
  <c r="G7" i="1"/>
  <c r="F7" i="1"/>
  <c r="E7" i="1"/>
  <c r="D7" i="1"/>
  <c r="C7" i="1"/>
  <c r="AA8" i="1"/>
  <c r="AB8" i="1"/>
  <c r="AA9" i="1"/>
  <c r="AB9" i="1"/>
  <c r="AB7" i="1" l="1"/>
  <c r="AA7" i="1"/>
  <c r="AB10" i="1"/>
  <c r="AA10" i="1"/>
</calcChain>
</file>

<file path=xl/sharedStrings.xml><?xml version="1.0" encoding="utf-8"?>
<sst xmlns="http://schemas.openxmlformats.org/spreadsheetml/2006/main" count="52" uniqueCount="25">
  <si>
    <t>월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</si>
  <si>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</si>
  <si>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</si>
  <si>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</si>
  <si>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</si>
  <si>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</si>
  <si>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</si>
  <si>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</si>
  <si>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</si>
  <si>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</si>
  <si>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</si>
  <si>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</si>
  <si>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</si>
  <si>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연평균</t>
  </si>
  <si>
    <t>구 분</t>
  </si>
  <si>
    <t>일반발전</t>
  </si>
  <si>
    <t>집단</t>
  </si>
  <si>
    <t>원/Nm3</t>
  </si>
  <si>
    <t>원료비</t>
  </si>
  <si>
    <t>공급비</t>
  </si>
  <si>
    <t>합계</t>
  </si>
  <si>
    <t>원/GJ</t>
  </si>
  <si>
    <t>* '15년 7월부터 일반발전사업자와 집단에너지사업자 간 개별소비세 차등적용</t>
  </si>
  <si>
    <t>* 발전용 천연가스 요금 단가는 원/GJ로 산정되며 위의 Nm3 숫자는 이해를 돕기 위해 10,190kcal/Nm3을 기준으로 환산한 것입니다.</t>
  </si>
  <si>
    <t>26년 발전용 천연가스 요금 단가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</si>
</sst>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_-;\-* #,##0.00_-;_-* &quot;-&quot;_-;_-@_-"/>
  </numFmts>
  <fonts count="7" x14ac:knownFonts="1">
    <font>
      <sz val="8"/>
      <color theme="1"/>
      <name val="맑은 고딕"/>
      <family val="2"/>
      <charset val="129"/>
    </font>
    <font>
      <sz val="8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 Semilight"/>
      <family val="3"/>
      <charset val="129"/>
    </font>
    <font>
      <b/>
      <sz val="14"/>
      <color theme="1"/>
      <name val="휴먼엑스포"/>
      <family val="1"/>
      <charset val="129"/>
    </font>
    <font>
      <sz val="14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1" applyNumberFormat="1" applyFont="1" applyBorder="1">
      <alignment vertical="center"/>
    </xf>
    <xf numFmtId="0" fontId="4" fillId="0" borderId="0" xfId="0" applyFont="1">
      <alignment vertical="center"/>
    </xf>
    <xf numFmtId="176" fontId="4" fillId="2" borderId="1" xfId="1" applyNumberFormat="1" applyFont="1" applyFill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176" fontId="4" fillId="0" borderId="3" xfId="1" applyNumberFormat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4" fontId="3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0"/>
  <sheetViews>
    <sheetView showGridLines="0" tabSelected="1" zoomScale="115" zoomScaleNormal="115" workbookViewId="0">
      <pane xSplit="2" ySplit="4" topLeftCell="I5" activePane="bottomRight" state="frozen"/>
      <selection pane="topRight" activeCell="C1" sqref="C1"/>
      <selection pane="bottomLeft" activeCell="A5" sqref="A5"/>
      <selection pane="bottomRight" activeCell="W3" sqref="W3:X3"/>
    </sheetView>
  </sheetViews>
  <sheetFormatPr defaultRowHeight="13.5" x14ac:dyDescent="0.2"/>
  <cols>
    <col min="1" max="2" width="9.33203125" style="1"/>
    <col min="3" max="4" width="13.1640625" style="1" bestFit="1" customWidth="1"/>
    <col min="5" max="5" width="12.83203125" style="1" bestFit="1" customWidth="1"/>
    <col min="6" max="7" width="13.1640625" style="1" bestFit="1" customWidth="1"/>
    <col min="8" max="9" width="12.83203125" style="1" bestFit="1" customWidth="1"/>
    <col min="10" max="11" width="12.33203125" style="1" bestFit="1" customWidth="1"/>
    <col min="12" max="14" width="12.83203125" style="1" bestFit="1" customWidth="1"/>
    <col min="15" max="16" width="12.33203125" style="1" bestFit="1" customWidth="1"/>
    <col min="17" max="18" width="13.1640625" style="1" bestFit="1" customWidth="1"/>
    <col min="19" max="19" width="12.83203125" style="1" bestFit="1" customWidth="1"/>
    <col min="20" max="20" width="13.1640625" style="1" bestFit="1" customWidth="1"/>
    <col min="21" max="23" width="12.83203125" style="1" bestFit="1" customWidth="1"/>
    <col min="24" max="25" width="12.33203125" style="1" bestFit="1" customWidth="1"/>
    <col min="26" max="26" width="12.83203125" style="1" bestFit="1" customWidth="1"/>
    <col min="27" max="28" width="13.1640625" style="1" bestFit="1" customWidth="1"/>
    <col min="29" max="16384" width="9.33203125" style="1"/>
  </cols>
  <sheetData>
    <row r="1" spans="1:28" s="8" customFormat="1" ht="20.25" x14ac:dyDescent="0.2">
      <c r="A1" s="7" t="s">
        <v>24</v>
      </c>
    </row>
    <row r="3" spans="1:28" s="2" customFormat="1" x14ac:dyDescent="0.2">
      <c r="A3" s="13" t="s">
        <v>0</v>
      </c>
      <c r="B3" s="13"/>
      <c r="C3" s="13" t="s">
        <v>1</v>
      </c>
      <c r="D3" s="13"/>
      <c r="E3" s="13" t="s">
        <v>2</v>
      </c>
      <c r="F3" s="13"/>
      <c r="G3" s="13" t="s">
        <v>3</v>
      </c>
      <c r="H3" s="13"/>
      <c r="I3" s="13" t="s">
        <v>4</v>
      </c>
      <c r="J3" s="13"/>
      <c r="K3" s="13" t="s">
        <v>5</v>
      </c>
      <c r="L3" s="13"/>
      <c r="M3" s="13" t="s">
        <v>6</v>
      </c>
      <c r="N3" s="13"/>
      <c r="O3" s="13" t="s">
        <v>7</v>
      </c>
      <c r="P3" s="13"/>
      <c r="Q3" s="13" t="s">
        <v>8</v>
      </c>
      <c r="R3" s="13"/>
      <c r="S3" s="13" t="s">
        <v>9</v>
      </c>
      <c r="T3" s="13"/>
      <c r="U3" s="13" t="s">
        <v>10</v>
      </c>
      <c r="V3" s="13"/>
      <c r="W3" s="13" t="s">
        <v>11</v>
      </c>
      <c r="X3" s="13"/>
      <c r="Y3" s="13" t="s">
        <v>12</v>
      </c>
      <c r="Z3" s="13"/>
      <c r="AA3" s="13" t="s">
        <v>13</v>
      </c>
      <c r="AB3" s="13"/>
    </row>
    <row r="4" spans="1:28" s="2" customFormat="1" ht="14.25" thickBot="1" x14ac:dyDescent="0.25">
      <c r="A4" s="16" t="s">
        <v>14</v>
      </c>
      <c r="B4" s="16"/>
      <c r="C4" s="11" t="s">
        <v>15</v>
      </c>
      <c r="D4" s="11" t="s">
        <v>16</v>
      </c>
      <c r="E4" s="11" t="s">
        <v>15</v>
      </c>
      <c r="F4" s="11" t="s">
        <v>16</v>
      </c>
      <c r="G4" s="11" t="s">
        <v>15</v>
      </c>
      <c r="H4" s="11" t="s">
        <v>16</v>
      </c>
      <c r="I4" s="11" t="s">
        <v>15</v>
      </c>
      <c r="J4" s="11" t="s">
        <v>16</v>
      </c>
      <c r="K4" s="11" t="s">
        <v>15</v>
      </c>
      <c r="L4" s="11" t="s">
        <v>16</v>
      </c>
      <c r="M4" s="11" t="s">
        <v>15</v>
      </c>
      <c r="N4" s="11" t="s">
        <v>16</v>
      </c>
      <c r="O4" s="11" t="s">
        <v>15</v>
      </c>
      <c r="P4" s="11" t="s">
        <v>16</v>
      </c>
      <c r="Q4" s="11" t="s">
        <v>15</v>
      </c>
      <c r="R4" s="11" t="s">
        <v>16</v>
      </c>
      <c r="S4" s="11" t="s">
        <v>15</v>
      </c>
      <c r="T4" s="11" t="s">
        <v>16</v>
      </c>
      <c r="U4" s="11" t="s">
        <v>15</v>
      </c>
      <c r="V4" s="11" t="s">
        <v>16</v>
      </c>
      <c r="W4" s="11" t="s">
        <v>15</v>
      </c>
      <c r="X4" s="11" t="s">
        <v>16</v>
      </c>
      <c r="Y4" s="11" t="s">
        <v>15</v>
      </c>
      <c r="Z4" s="11" t="s">
        <v>16</v>
      </c>
      <c r="AA4" s="11" t="s">
        <v>15</v>
      </c>
      <c r="AB4" s="11" t="s">
        <v>16</v>
      </c>
    </row>
    <row r="5" spans="1:28" s="5" customFormat="1" ht="14.25" thickTop="1" x14ac:dyDescent="0.2">
      <c r="A5" s="14" t="s">
        <v>17</v>
      </c>
      <c r="B5" s="9" t="s">
        <v>18</v>
      </c>
      <c r="C5" s="10">
        <v>597.57000000000005</v>
      </c>
      <c r="D5" s="10">
        <v>596.16000000000008</v>
      </c>
      <c r="E5" s="10">
        <v>608.53000000000009</v>
      </c>
      <c r="F5" s="10">
        <v>605.73000000000013</v>
      </c>
      <c r="G5" s="10">
        <v>585.82000000000005</v>
      </c>
      <c r="H5" s="10">
        <v>583.02</v>
      </c>
      <c r="I5" s="10">
        <v>613.92000000000007</v>
      </c>
      <c r="J5" s="10">
        <v>611.12</v>
      </c>
      <c r="K5" s="10">
        <v>676.09</v>
      </c>
      <c r="L5" s="10">
        <v>673.34</v>
      </c>
      <c r="M5" s="10">
        <v>736.6</v>
      </c>
      <c r="N5" s="10">
        <v>733.79</v>
      </c>
      <c r="O5" s="10">
        <v>785.35</v>
      </c>
      <c r="P5" s="10">
        <v>782.54</v>
      </c>
      <c r="Q5" s="10">
        <v>879.4</v>
      </c>
      <c r="R5" s="10">
        <v>877.99</v>
      </c>
      <c r="S5" s="10">
        <v>968.13</v>
      </c>
      <c r="T5" s="10">
        <v>966.73</v>
      </c>
      <c r="U5" s="10">
        <v>980.12</v>
      </c>
      <c r="V5" s="10">
        <v>978.73</v>
      </c>
      <c r="W5" s="10">
        <v>1007.25</v>
      </c>
      <c r="X5" s="10">
        <v>1005.86</v>
      </c>
      <c r="Y5" s="10"/>
      <c r="Z5" s="10"/>
      <c r="AA5" s="10">
        <f>ROUND(AVERAGE(C5,E5,G5,I5,K5,M5,O5,Q5,S5,U5,W5,Y5),2)</f>
        <v>767.16</v>
      </c>
      <c r="AB5" s="10">
        <f>ROUND(AVERAGE(D5,F5,H5,J5,L5,N5,P5,R5,T5,V5,X5,Z5),2)</f>
        <v>765</v>
      </c>
    </row>
    <row r="6" spans="1:28" s="5" customFormat="1" x14ac:dyDescent="0.2">
      <c r="A6" s="15"/>
      <c r="B6" s="3" t="s">
        <v>19</v>
      </c>
      <c r="C6" s="4">
        <v>98.85</v>
      </c>
      <c r="D6" s="4">
        <v>98.85</v>
      </c>
      <c r="E6" s="4">
        <v>98.85</v>
      </c>
      <c r="F6" s="4">
        <v>98.85</v>
      </c>
      <c r="G6" s="4">
        <v>98.85</v>
      </c>
      <c r="H6" s="4">
        <v>98.85</v>
      </c>
      <c r="I6" s="4">
        <v>98.85</v>
      </c>
      <c r="J6" s="4">
        <v>98.85</v>
      </c>
      <c r="K6" s="4">
        <v>90.21</v>
      </c>
      <c r="L6" s="4">
        <v>90.21</v>
      </c>
      <c r="M6" s="4">
        <v>90.21</v>
      </c>
      <c r="N6" s="4">
        <v>90.21</v>
      </c>
      <c r="O6" s="4">
        <v>90.21</v>
      </c>
      <c r="P6" s="4">
        <v>90.21</v>
      </c>
      <c r="Q6" s="4">
        <v>90.21</v>
      </c>
      <c r="R6" s="4">
        <v>90.21</v>
      </c>
      <c r="S6" s="4">
        <v>90.21</v>
      </c>
      <c r="T6" s="4">
        <v>90.21</v>
      </c>
      <c r="U6" s="4">
        <v>90.21</v>
      </c>
      <c r="V6" s="4">
        <v>90.21</v>
      </c>
      <c r="W6" s="4">
        <v>90.21</v>
      </c>
      <c r="X6" s="4">
        <v>90.21</v>
      </c>
      <c r="Y6" s="4"/>
      <c r="Z6" s="4"/>
      <c r="AA6" s="4">
        <f>ROUND(AVERAGE(C6,E6,G6,I6,K6,M6,O6,Q6,S6,U6,W6,Y6),2)</f>
        <v>93.35</v>
      </c>
      <c r="AB6" s="4">
        <f>ROUND(AVERAGE(D6,F6,H6,J6,L6,N6,P6,R6,T6,V6,X6,Z6),2)</f>
        <v>93.35</v>
      </c>
    </row>
    <row r="7" spans="1:28" s="5" customFormat="1" x14ac:dyDescent="0.2">
      <c r="A7" s="15"/>
      <c r="B7" s="3" t="s">
        <v>20</v>
      </c>
      <c r="C7" s="6">
        <f t="shared" ref="C7:Z7" si="0">SUM(C5:C6)</f>
        <v>696.42000000000007</v>
      </c>
      <c r="D7" s="6">
        <f t="shared" si="0"/>
        <v>695.0100000000001</v>
      </c>
      <c r="E7" s="6">
        <f t="shared" si="0"/>
        <v>707.38000000000011</v>
      </c>
      <c r="F7" s="6">
        <f t="shared" si="0"/>
        <v>704.58000000000015</v>
      </c>
      <c r="G7" s="6">
        <f t="shared" si="0"/>
        <v>684.67000000000007</v>
      </c>
      <c r="H7" s="6">
        <f t="shared" si="0"/>
        <v>681.87</v>
      </c>
      <c r="I7" s="6">
        <f t="shared" ref="I7:J7" si="1">SUM(I5:I6)</f>
        <v>712.7700000000001</v>
      </c>
      <c r="J7" s="6">
        <f t="shared" si="1"/>
        <v>709.97</v>
      </c>
      <c r="K7" s="6">
        <f t="shared" si="0"/>
        <v>766.30000000000007</v>
      </c>
      <c r="L7" s="6">
        <f t="shared" si="0"/>
        <v>763.55000000000007</v>
      </c>
      <c r="M7" s="6">
        <f t="shared" ref="M7:N7" si="2">SUM(M5:M6)</f>
        <v>826.81000000000006</v>
      </c>
      <c r="N7" s="6">
        <f t="shared" si="2"/>
        <v>824</v>
      </c>
      <c r="O7" s="6">
        <f t="shared" si="0"/>
        <v>875.56000000000006</v>
      </c>
      <c r="P7" s="6">
        <f t="shared" si="0"/>
        <v>872.75</v>
      </c>
      <c r="Q7" s="6">
        <f t="shared" si="0"/>
        <v>969.61</v>
      </c>
      <c r="R7" s="6">
        <f t="shared" si="0"/>
        <v>968.2</v>
      </c>
      <c r="S7" s="6">
        <f t="shared" si="0"/>
        <v>1058.3399999999999</v>
      </c>
      <c r="T7" s="6">
        <f t="shared" si="0"/>
        <v>1056.94</v>
      </c>
      <c r="U7" s="6">
        <f t="shared" si="0"/>
        <v>1070.33</v>
      </c>
      <c r="V7" s="6">
        <f t="shared" si="0"/>
        <v>1068.94</v>
      </c>
      <c r="W7" s="6">
        <f t="shared" ref="W7:X7" si="3">SUM(W5:W6)</f>
        <v>1097.46</v>
      </c>
      <c r="X7" s="6">
        <f t="shared" si="3"/>
        <v>1096.07</v>
      </c>
      <c r="Y7" s="6">
        <f t="shared" si="0"/>
        <v>0</v>
      </c>
      <c r="Z7" s="6">
        <f t="shared" si="0"/>
        <v>0</v>
      </c>
      <c r="AA7" s="6">
        <f>SUM(AA5:AA6)</f>
        <v>860.51</v>
      </c>
      <c r="AB7" s="6">
        <f>SUM(AB5:AB6)</f>
        <v>858.35</v>
      </c>
    </row>
    <row r="8" spans="1:28" s="5" customFormat="1" x14ac:dyDescent="0.2">
      <c r="A8" s="15" t="s">
        <v>21</v>
      </c>
      <c r="B8" s="3" t="s">
        <v>18</v>
      </c>
      <c r="C8" s="4">
        <v>14006.59</v>
      </c>
      <c r="D8" s="4">
        <v>13973.69</v>
      </c>
      <c r="E8" s="4">
        <v>14263.52</v>
      </c>
      <c r="F8" s="4">
        <v>14197.830000000002</v>
      </c>
      <c r="G8" s="4">
        <v>13731.16</v>
      </c>
      <c r="H8" s="4">
        <v>13665.289999999999</v>
      </c>
      <c r="I8" s="4">
        <v>14389.880000000001</v>
      </c>
      <c r="J8" s="4">
        <v>14324.01</v>
      </c>
      <c r="K8" s="4">
        <v>15847.100000000002</v>
      </c>
      <c r="L8" s="4">
        <v>15782.87</v>
      </c>
      <c r="M8" s="4">
        <v>17265.23</v>
      </c>
      <c r="N8" s="4">
        <v>17199.38</v>
      </c>
      <c r="O8" s="4">
        <v>18408.11</v>
      </c>
      <c r="P8" s="4">
        <v>18342.250000000004</v>
      </c>
      <c r="Q8" s="4">
        <v>20612.43</v>
      </c>
      <c r="R8" s="4">
        <v>20579.509999999998</v>
      </c>
      <c r="S8" s="4">
        <v>22692.22</v>
      </c>
      <c r="T8" s="4">
        <v>22659.54</v>
      </c>
      <c r="U8" s="4">
        <v>22973.390000000003</v>
      </c>
      <c r="V8" s="4">
        <v>22940.690000000002</v>
      </c>
      <c r="W8" s="4">
        <v>23609.230000000003</v>
      </c>
      <c r="X8" s="4">
        <v>23576.440000000002</v>
      </c>
      <c r="Y8" s="4"/>
      <c r="Z8" s="4"/>
      <c r="AA8" s="4">
        <f>ROUND(AVERAGE(C8,E8,G8,I8,K8,M8,O8,Q8,S8,U8,W8,Y8),2)</f>
        <v>17981.71</v>
      </c>
      <c r="AB8" s="4">
        <f>ROUND(AVERAGE(D8,F8,H8,J8,L8,N8,P8,R8,T8,V8,X8,Z8),2)</f>
        <v>17931.05</v>
      </c>
    </row>
    <row r="9" spans="1:28" s="5" customFormat="1" x14ac:dyDescent="0.2">
      <c r="A9" s="15"/>
      <c r="B9" s="3" t="s">
        <v>19</v>
      </c>
      <c r="C9" s="4">
        <v>2317.04</v>
      </c>
      <c r="D9" s="4">
        <v>2317.04</v>
      </c>
      <c r="E9" s="4">
        <v>2317.04</v>
      </c>
      <c r="F9" s="4">
        <v>2317.04</v>
      </c>
      <c r="G9" s="4">
        <v>2317.04</v>
      </c>
      <c r="H9" s="4">
        <v>2317.04</v>
      </c>
      <c r="I9" s="4">
        <v>2317.04</v>
      </c>
      <c r="J9" s="4">
        <v>2317.04</v>
      </c>
      <c r="K9" s="4">
        <v>2114.4699999999998</v>
      </c>
      <c r="L9" s="4">
        <v>2114.4699999999998</v>
      </c>
      <c r="M9" s="4">
        <v>2114.4699999999998</v>
      </c>
      <c r="N9" s="4">
        <v>2114.4699999999998</v>
      </c>
      <c r="O9" s="4">
        <v>2114.4699999999998</v>
      </c>
      <c r="P9" s="4">
        <v>2114.4699999999998</v>
      </c>
      <c r="Q9" s="4">
        <v>2114.4699999999998</v>
      </c>
      <c r="R9" s="4">
        <v>2114.4699999999998</v>
      </c>
      <c r="S9" s="4">
        <v>2114.4699999999998</v>
      </c>
      <c r="T9" s="4">
        <v>2114.4699999999998</v>
      </c>
      <c r="U9" s="4">
        <v>2114.4699999999998</v>
      </c>
      <c r="V9" s="4">
        <v>2114.4699999999998</v>
      </c>
      <c r="W9" s="4">
        <v>2114.4699999999998</v>
      </c>
      <c r="X9" s="4">
        <v>2114.4699999999998</v>
      </c>
      <c r="Y9" s="4"/>
      <c r="Z9" s="4"/>
      <c r="AA9" s="4">
        <f>ROUND(AVERAGE(C9,E9,G9,I9,K9,M9,O9,Q9,S9,U9,W9,Y9),2)</f>
        <v>2188.13</v>
      </c>
      <c r="AB9" s="4">
        <f>ROUND(AVERAGE(D9,F9,H9,J9,L9,N9,P9,R9,T9,V9,X9,Z9),2)</f>
        <v>2188.13</v>
      </c>
    </row>
    <row r="10" spans="1:28" s="5" customFormat="1" x14ac:dyDescent="0.2">
      <c r="A10" s="15"/>
      <c r="B10" s="3" t="s">
        <v>20</v>
      </c>
      <c r="C10" s="6">
        <f t="shared" ref="C10:Z10" si="4">SUM(C8:C9)</f>
        <v>16323.630000000001</v>
      </c>
      <c r="D10" s="6">
        <f t="shared" si="4"/>
        <v>16290.73</v>
      </c>
      <c r="E10" s="6">
        <f t="shared" si="4"/>
        <v>16580.560000000001</v>
      </c>
      <c r="F10" s="6">
        <f t="shared" si="4"/>
        <v>16514.870000000003</v>
      </c>
      <c r="G10" s="6">
        <f t="shared" si="4"/>
        <v>16048.2</v>
      </c>
      <c r="H10" s="6">
        <f t="shared" si="4"/>
        <v>15982.329999999998</v>
      </c>
      <c r="I10" s="6">
        <f t="shared" ref="I10:J10" si="5">SUM(I8:I9)</f>
        <v>16706.920000000002</v>
      </c>
      <c r="J10" s="6">
        <f t="shared" si="5"/>
        <v>16641.05</v>
      </c>
      <c r="K10" s="6">
        <f t="shared" si="4"/>
        <v>17961.570000000003</v>
      </c>
      <c r="L10" s="6">
        <f t="shared" si="4"/>
        <v>17897.34</v>
      </c>
      <c r="M10" s="6">
        <f t="shared" ref="M10:N10" si="6">SUM(M8:M9)</f>
        <v>19379.7</v>
      </c>
      <c r="N10" s="6">
        <f t="shared" si="6"/>
        <v>19313.850000000002</v>
      </c>
      <c r="O10" s="6">
        <f t="shared" si="4"/>
        <v>20522.580000000002</v>
      </c>
      <c r="P10" s="6">
        <f t="shared" si="4"/>
        <v>20456.720000000005</v>
      </c>
      <c r="Q10" s="6">
        <f t="shared" si="4"/>
        <v>22726.9</v>
      </c>
      <c r="R10" s="6">
        <f t="shared" si="4"/>
        <v>22693.98</v>
      </c>
      <c r="S10" s="6">
        <f t="shared" si="4"/>
        <v>24806.690000000002</v>
      </c>
      <c r="T10" s="6">
        <f t="shared" si="4"/>
        <v>24774.010000000002</v>
      </c>
      <c r="U10" s="6">
        <f t="shared" si="4"/>
        <v>25087.860000000004</v>
      </c>
      <c r="V10" s="6">
        <f t="shared" si="4"/>
        <v>25055.160000000003</v>
      </c>
      <c r="W10" s="6">
        <f t="shared" ref="W10:X10" si="7">SUM(W8:W9)</f>
        <v>25723.700000000004</v>
      </c>
      <c r="X10" s="6">
        <f t="shared" si="7"/>
        <v>25690.910000000003</v>
      </c>
      <c r="Y10" s="6">
        <f t="shared" si="4"/>
        <v>0</v>
      </c>
      <c r="Z10" s="6">
        <f t="shared" si="4"/>
        <v>0</v>
      </c>
      <c r="AA10" s="6">
        <f>SUM(AA8:AA9)</f>
        <v>20169.84</v>
      </c>
      <c r="AB10" s="6">
        <f>SUM(AB8:AB9)</f>
        <v>20119.18</v>
      </c>
    </row>
    <row r="14" spans="1:28" x14ac:dyDescent="0.2">
      <c r="A14" s="1" t="s">
        <v>22</v>
      </c>
    </row>
    <row r="15" spans="1:28" x14ac:dyDescent="0.2">
      <c r="A15" s="1" t="s">
        <v>23</v>
      </c>
    </row>
    <row r="26" spans="3:4" x14ac:dyDescent="0.2">
      <c r="C26" s="12"/>
      <c r="D26" s="12"/>
    </row>
    <row r="27" spans="3:4" x14ac:dyDescent="0.2">
      <c r="C27" s="12"/>
      <c r="D27" s="12"/>
    </row>
    <row r="28" spans="3:4" x14ac:dyDescent="0.2">
      <c r="C28" s="12"/>
      <c r="D28" s="12"/>
    </row>
    <row r="30" spans="3:4" x14ac:dyDescent="0.2">
      <c r="C30" s="12"/>
    </row>
  </sheetData>
  <mergeCells count="17">
    <mergeCell ref="Q3:R3"/>
    <mergeCell ref="C3:D3"/>
    <mergeCell ref="A5:A7"/>
    <mergeCell ref="A8:A10"/>
    <mergeCell ref="A3:B3"/>
    <mergeCell ref="A4:B4"/>
    <mergeCell ref="E3:F3"/>
    <mergeCell ref="G3:H3"/>
    <mergeCell ref="I3:J3"/>
    <mergeCell ref="K3:L3"/>
    <mergeCell ref="M3:N3"/>
    <mergeCell ref="O3:P3"/>
    <mergeCell ref="S3:T3"/>
    <mergeCell ref="U3:V3"/>
    <mergeCell ref="W3:X3"/>
    <mergeCell ref="Y3:Z3"/>
    <mergeCell ref="AA3:AB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자혜/4급을/발전영업부</dc:creator>
  <cp:lastModifiedBy>전재연/4급병/영업처 발전영업부</cp:lastModifiedBy>
  <dcterms:created xsi:type="dcterms:W3CDTF">2023-12-27T07:27:58Z</dcterms:created>
  <dcterms:modified xsi:type="dcterms:W3CDTF">2026-10-27T08:57:47Z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NjczIiwibG9nVGltZSI6IjIwMjYtMTAtMjlUMDE6MTI6MjhaIiwicElEIjoxLCJwcm9jZXNzSWQiOjI0MTY0LCJwcm9jZXNzTmFtZSI6IlhTQXBwciIsInRyYWNlSWQiOiIxRTZBMjQyRkU5Qzg5QTM2MzNEQzA2NTk3RTIzMkE5NiIsInVzZXJDb2RlIjoiMSwwMDEwNTc4MjcifSwibm9kZTIiOnsiZHNkIjoiMDEwMDAwMDAwMDAwMTY3MyIsImxvZ1RpbWUiOiIyMDI2LTEwLTI5VDAxOjEyOjI4WiIsInBJRCI6MSwicHJvY2Vzc0lkIjoyNDE2NCwicHJvY2Vzc05hbWUiOiJYU0FwcHIiLCJ0cmFjZUlkIjoiMUU2QTI0MkZFOUM4OUEzNjMzREMwNjU5N0UyMzJBOTYiLCJ1c2VyQ29kZSI6IjEsMDAxMDU3ODI3In0sIm5vZGUzIjp7ImRzZCI6IjAxMDAwMDAwMDAwMDE2NzMiLCJsb2dUaW1lIjoiMjAyNi0xMC0yOVQwMToxMjoyOFoiLCJwSUQiOjEsInByb2Nlc3NJZCI6MjQxNjQsInByb2Nlc3NOYW1lIjoiWFNBcHByIiwidHJhY2VJZCI6IjFFNkEyNDJGRTlDODlBMzYzM0RDMDY1OTdFMjMyQTk2IiwidXNlckNvZGUiOiIxLDAwMTA1NzgyNyJ9LCJub2RlNCI6eyJkc2QiOiIwMTAwMDAwMDAwMDAxNjczIiwibG9nVGltZSI6IjIwMjYtMTAtMjlUMDE6MTI6MjhaIiwicElEIjoxLCJwcm9jZXNzSWQiOjI0MTY0LCJwcm9jZXNzTmFtZSI6IlhTQXBwciIsInRyYWNlSWQiOiIxRTZBMjQyRkU5Qzg5QTM2MzNEQzA2NTk3RTIzMkE5NiIsInVzZXJDb2RlIjoiMSwwMDEwNTc4MjcifSwibm9kZTUiOnsiZHNkIjoiMDAwMDAwMDAwMDAwMDAwMCIsImxvZ1RpbWUiOiIyMDI2LTEwLTI5VDAxOjEyOjI5WiIsInBJRCIgOiAyMDQ4LCJwcm9jZXNzSWQiOjI0MTY0LCJwcm9jZXNzTmFtZSI6IlhTQXBwciIsInRyYWNlSWQiOiJBQzg3ODkwNkU0NThEMDgwQjdDQTVBOUI1RTIzNjUyRSIsInVzZXJDb2RlIjoiIn0sIm5vZGVDb3VudCI6Miwicm9vdFRyYWNlSWQiOiIxRTZBMjQyRkU5Qzg5QTM2MzNEQzA2NTk3RTIzMkE5NiJ9</vt:lpwstr>
  </property>
</Properties>
</file>